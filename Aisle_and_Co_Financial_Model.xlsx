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Unit Economics" sheetId="3" state="visible" r:id="rId5"/>
    <sheet name="Startup Costs" sheetId="4" state="visible" r:id="rId6"/>
    <sheet name="Year 1 Monthly P&amp;L" sheetId="5" state="visible" r:id="rId7"/>
    <sheet name="Multi-Year Projection" sheetId="6" state="visible" r:id="rId8"/>
    <sheet name="Scenari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<sst xmlns="http://schemas.openxmlformats.org/spreadsheetml/2006/main" count="240" uniqueCount="212">
  <si>
    <t xml:space="preserve">Aisle &amp; Co. — Financial Model</t>
  </si>
  <si>
    <t xml:space="preserve">"Wedding-day care for your littlest guests — two-legged and four."</t>
  </si>
  <si>
    <t xml:space="preserve">Northeast Florida | Jacksonville · St. Augustine · Ponte Vedra · Amelia Island · Palm Coast · Daytona</t>
  </si>
  <si>
    <t xml:space="preserve">How to use this model:</t>
  </si>
  <si>
    <t xml:space="preserve">1. Open the 'Assumptions' tab. Every blue cell is an input you can change.</t>
  </si>
  <si>
    <t xml:space="preserve">2. The model recalculates automatically.</t>
  </si>
  <si>
    <t xml:space="preserve">3. Color coding:</t>
  </si>
  <si>
    <t xml:space="preserve">      Blue = hardcoded input (edit these to flex the model)</t>
  </si>
  <si>
    <t xml:space="preserve">      Black = formula / calculation</t>
  </si>
  <si>
    <t xml:space="preserve">      Green = cross-sheet link</t>
  </si>
  <si>
    <t xml:space="preserve">      Yellow highlight = key output worth watching</t>
  </si>
  <si>
    <t xml:space="preserve">Sheet guide:</t>
  </si>
  <si>
    <t xml:space="preserve">   Assumptions - all inputs (pricing, pay, sizing, volume/mix, fixed costs)</t>
  </si>
  <si>
    <t xml:space="preserve">   Unit Economics - per-event revenue, COGS, gross profit by service type</t>
  </si>
  <si>
    <t xml:space="preserve">   Startup Costs - one-time pre-revenue capex (~$9,500)</t>
  </si>
  <si>
    <t xml:space="preserve">   Year 1 Monthly P&amp;L - month-by-month with NE FL seasonality (October peak)</t>
  </si>
  <si>
    <t xml:space="preserve">   Multi-Year Projection - 3-year roll-up (Y1 launch, Y2 side income, Y3 fork)</t>
  </si>
  <si>
    <t xml:space="preserve">   Scenarios - Conservative / Base / Aggressive / Stretch + breakeven</t>
  </si>
  <si>
    <t xml:space="preserve">Default base case (current inputs):</t>
  </si>
  <si>
    <t xml:space="preserve">   Year 1: 30 events, $650 avg ticket -&gt; ~$19.5K revenue. Net is negative ~$5K (Y1 absorbs $9.5K startup).</t>
  </si>
  <si>
    <t xml:space="preserve">   Year 2: 80 events, $750 avg ticket -&gt; ~$60K revenue, ~$22-28K net (the side income year).</t>
  </si>
  <si>
    <t xml:space="preserve">   Year 3: 180 events, $850 avg ticket -&gt; ~$153K revenue, includes $45K Ops Lead salary in fixed costs.</t>
  </si>
  <si>
    <t xml:space="preserve">Things to flex when stress-testing:</t>
  </si>
  <si>
    <t xml:space="preserve">   Service mix % on Assumptions - Wedding Weekend has the highest gross profit per event.</t>
  </si>
  <si>
    <t xml:space="preserve">   Avg kids per Aisle event (currently 8) - drives revenue and supplies cost.</t>
  </si>
  <si>
    <t xml:space="preserve">   Avg sitters per event (currently 2) - drives both revenue and COGS.</t>
  </si>
  <si>
    <t xml:space="preserve">   Avg ticket per year - directly drives top-line.</t>
  </si>
  <si>
    <t xml:space="preserve">   Marketing spend in Fixed costs - starve or feed the venue/planner pipeline.</t>
  </si>
  <si>
    <t xml:space="preserve">Drafted by: CEO mode - Founding Plan v1.1 (May 2026)</t>
  </si>
  <si>
    <t xml:space="preserve">Aisle &amp; Co. — Key Assumptions</t>
  </si>
  <si>
    <t xml:space="preserve">Wedding-day childcare + pet sitting | NE Florida</t>
  </si>
  <si>
    <t xml:space="preserve">Blue = input (edit to flex). Black = formula. Green = cross-sheet link.</t>
  </si>
  <si>
    <t xml:space="preserve">Pricing inputs (charged to client)</t>
  </si>
  <si>
    <t xml:space="preserve">Lead sitter hourly rate</t>
  </si>
  <si>
    <t xml:space="preserve">$/hr</t>
  </si>
  <si>
    <t xml:space="preserve">Additional sitter hourly rate</t>
  </si>
  <si>
    <t xml:space="preserve">Aisle Sitters setup fee</t>
  </si>
  <si>
    <t xml:space="preserve">flat</t>
  </si>
  <si>
    <t xml:space="preserve">Late-night surcharge (after 11pm)</t>
  </si>
  <si>
    <t xml:space="preserve">$/hr/sitter</t>
  </si>
  <si>
    <t xml:space="preserve">Pet of Honor — Standard</t>
  </si>
  <si>
    <t xml:space="preserve">Pet of Honor — Premium</t>
  </si>
  <si>
    <t xml:space="preserve">Weekend Pet Care package</t>
  </si>
  <si>
    <t xml:space="preserve">Multi-pet add-on (per pet)</t>
  </si>
  <si>
    <t xml:space="preserve">Boarding per night</t>
  </si>
  <si>
    <t xml:space="preserve">$/night</t>
  </si>
  <si>
    <t xml:space="preserve">Travel surcharge</t>
  </si>
  <si>
    <t xml:space="preserve">$/mile &gt;25mi</t>
  </si>
  <si>
    <t xml:space="preserve">Activities upcharge (typical)</t>
  </si>
  <si>
    <t xml:space="preserve">flat / event</t>
  </si>
  <si>
    <t xml:space="preserve">Sitter / handler pay (paid by us)</t>
  </si>
  <si>
    <t xml:space="preserve">Lead sitter pay</t>
  </si>
  <si>
    <t xml:space="preserve">Additional sitter pay</t>
  </si>
  <si>
    <t xml:space="preserve">Pet handler pay (Standard)</t>
  </si>
  <si>
    <t xml:space="preserve">Pet handler pay (Premium)</t>
  </si>
  <si>
    <t xml:space="preserve">Weekend Pet handler pay</t>
  </si>
  <si>
    <t xml:space="preserve">Supplies cost per child (activity kit)</t>
  </si>
  <si>
    <t xml:space="preserve">$/child</t>
  </si>
  <si>
    <t xml:space="preserve">Supplies/transport per pet event</t>
  </si>
  <si>
    <t xml:space="preserve">$/event</t>
  </si>
  <si>
    <t xml:space="preserve">Typical Aisle event sizing</t>
  </si>
  <si>
    <t xml:space="preserve">Avg kids per Aisle event</t>
  </si>
  <si>
    <t xml:space="preserve">kids</t>
  </si>
  <si>
    <t xml:space="preserve">Avg sitters per Aisle event</t>
  </si>
  <si>
    <t xml:space="preserve">sitters</t>
  </si>
  <si>
    <t xml:space="preserve">Avg event hours (Aisle Sitters)</t>
  </si>
  <si>
    <t xml:space="preserve">hours</t>
  </si>
  <si>
    <t xml:space="preserve">Wedding Weekend avg revenue (Signature)</t>
  </si>
  <si>
    <t xml:space="preserve">Sitter hours per Wedding Weekend</t>
  </si>
  <si>
    <t xml:space="preserve">hr/event</t>
  </si>
  <si>
    <t xml:space="preserve">Volume &amp; service mix by year</t>
  </si>
  <si>
    <t xml:space="preserve">Year 1</t>
  </si>
  <si>
    <t xml:space="preserve">Year 2</t>
  </si>
  <si>
    <t xml:space="preserve">Year 3</t>
  </si>
  <si>
    <t xml:space="preserve">Events booked</t>
  </si>
  <si>
    <t xml:space="preserve">Avg ticket / event</t>
  </si>
  <si>
    <t xml:space="preserve">Y1 launch mix is mostly Aisle; ramps with Weekend %</t>
  </si>
  <si>
    <t xml:space="preserve">% mix — Aisle Sitters only</t>
  </si>
  <si>
    <t xml:space="preserve">% mix — Pet of Honor only</t>
  </si>
  <si>
    <t xml:space="preserve">% mix — Wedding Weekend (combo)</t>
  </si>
  <si>
    <t xml:space="preserve">Fixed costs (annual baseline)</t>
  </si>
  <si>
    <t xml:space="preserve">Insurance (GL + pet rider + bond)</t>
  </si>
  <si>
    <t xml:space="preserve">Software stack (CRM, QB, Workspace, etc.)</t>
  </si>
  <si>
    <t xml:space="preserve">Website + domain (Squarespace)</t>
  </si>
  <si>
    <t xml:space="preserve">Marketing — The Knot Storefront</t>
  </si>
  <si>
    <t xml:space="preserve">Marketing — paid social / Google ads</t>
  </si>
  <si>
    <t xml:space="preserve">Annual report + accounting</t>
  </si>
  <si>
    <t xml:space="preserve">Background checks (annual rescreening)</t>
  </si>
  <si>
    <t xml:space="preserve">Sitter training cohorts (paid)</t>
  </si>
  <si>
    <t xml:space="preserve">Misc / contingency</t>
  </si>
  <si>
    <t xml:space="preserve">Total fixed (Year 1)</t>
  </si>
  <si>
    <t xml:space="preserve">Unit Economics — Per-Event Math</t>
  </si>
  <si>
    <t xml:space="preserve">What does each service type look like at typical event size? Margins drive scenarios.</t>
  </si>
  <si>
    <t xml:space="preserve">Aisle Sitters — typical event (driven by Assumptions sizing)</t>
  </si>
  <si>
    <t xml:space="preserve">Lead sitter revenue ($/hr × hours)</t>
  </si>
  <si>
    <t xml:space="preserve">Additional sitter revenue ($/hr × hours × addl sitters)</t>
  </si>
  <si>
    <t xml:space="preserve">Setup fee</t>
  </si>
  <si>
    <t xml:space="preserve">Activities upcharge</t>
  </si>
  <si>
    <t xml:space="preserve">Total revenue</t>
  </si>
  <si>
    <t xml:space="preserve">Lead sitter pay ($/hr × hours)</t>
  </si>
  <si>
    <t xml:space="preserve">Additional sitter pay ($/hr × hours × addl sitters)</t>
  </si>
  <si>
    <t xml:space="preserve">Activity kits / supplies ($/child × kids)</t>
  </si>
  <si>
    <t xml:space="preserve">Total COGS</t>
  </si>
  <si>
    <t xml:space="preserve">Gross profit</t>
  </si>
  <si>
    <t xml:space="preserve">Gross margin</t>
  </si>
  <si>
    <t xml:space="preserve">Pet of Honor — Standard package</t>
  </si>
  <si>
    <t xml:space="preserve">Standard package revenue</t>
  </si>
  <si>
    <t xml:space="preserve">Handler pay (flat per package)</t>
  </si>
  <si>
    <t xml:space="preserve">Supplies / transport</t>
  </si>
  <si>
    <t xml:space="preserve">Wedding Weekend — Signature combo</t>
  </si>
  <si>
    <t xml:space="preserve">Package revenue (Signature avg)</t>
  </si>
  <si>
    <t xml:space="preserve">Sitter pay (12 hr × 2 sitters @ blended rate)</t>
  </si>
  <si>
    <t xml:space="preserve">Supplies (kids kits + pet)</t>
  </si>
  <si>
    <t xml:space="preserve">Blended unit economics by year (mix-weighted)</t>
  </si>
  <si>
    <t xml:space="preserve">Service</t>
  </si>
  <si>
    <t xml:space="preserve">Per-event revenue</t>
  </si>
  <si>
    <t xml:space="preserve">Per-event COGS</t>
  </si>
  <si>
    <t xml:space="preserve">Per-event GP</t>
  </si>
  <si>
    <t xml:space="preserve">Y1 mix</t>
  </si>
  <si>
    <t xml:space="preserve">Y2 mix</t>
  </si>
  <si>
    <t xml:space="preserve">Aisle Sitters</t>
  </si>
  <si>
    <t xml:space="preserve">Pet of Honor</t>
  </si>
  <si>
    <t xml:space="preserve">Wedding Weekend</t>
  </si>
  <si>
    <t xml:space="preserve">Y1 blended per-event (computed)</t>
  </si>
  <si>
    <t xml:space="preserve">Reference only — P&amp;L uses Avg Ticket inputs from Assumptions</t>
  </si>
  <si>
    <t xml:space="preserve">Startup Costs (pre-revenue, Months 1-3)</t>
  </si>
  <si>
    <t xml:space="preserve">One-time launch capex. Founder injects ~$10K to be safe.</t>
  </si>
  <si>
    <t xml:space="preserve">Item</t>
  </si>
  <si>
    <t xml:space="preserve">Cost</t>
  </si>
  <si>
    <t xml:space="preserve">Notes</t>
  </si>
  <si>
    <t xml:space="preserve">LLC formation + DBA + business tax receipt</t>
  </si>
  <si>
    <t xml:space="preserve">Sunbiz, county</t>
  </si>
  <si>
    <t xml:space="preserve">Attorney for MSA + waivers</t>
  </si>
  <si>
    <t xml:space="preserve">One-time drafting</t>
  </si>
  <si>
    <t xml:space="preserve">Insurance (annual, paid up front)</t>
  </si>
  <si>
    <t xml:space="preserve">GL + pet rider + bond</t>
  </si>
  <si>
    <t xml:space="preserve">Brand identity (logo, basic guidelines)</t>
  </si>
  <si>
    <t xml:space="preserve">Local designer or 99designs</t>
  </si>
  <si>
    <t xml:space="preserve">Website + domain + Squarespace setup</t>
  </si>
  <si>
    <t xml:space="preserve">Including 12 mo hosting</t>
  </si>
  <si>
    <t xml:space="preserve">HoneyBook + QuickBooks + Workspace (3 mo prepaid)</t>
  </si>
  <si>
    <t xml:space="preserve">Initial activity kits + branded supplies (10 events)</t>
  </si>
  <si>
    <t xml:space="preserve">Reusable + consumable mix</t>
  </si>
  <si>
    <t xml:space="preserve">Branded leashes / collars / pet kit</t>
  </si>
  <si>
    <t xml:space="preserve">5 events of pet inventory</t>
  </si>
  <si>
    <t xml:space="preserve">Background checks (initial 8 sitters)</t>
  </si>
  <si>
    <t xml:space="preserve">AHCA Level 2 + Checkr</t>
  </si>
  <si>
    <t xml:space="preserve">The Knot Storefront (3 mo)</t>
  </si>
  <si>
    <t xml:space="preserve">Photography for marketing (styled shoot)</t>
  </si>
  <si>
    <t xml:space="preserve">1 styled shoot, 30+ photos</t>
  </si>
  <si>
    <t xml:space="preserve">Misc (printing, gift boxes for venues)</t>
  </si>
  <si>
    <t xml:space="preserve">10 venue gift drops</t>
  </si>
  <si>
    <t xml:space="preserve">TOTAL STARTUP</t>
  </si>
  <si>
    <t xml:space="preserve">Year 1 Monthly P&amp;L</t>
  </si>
  <si>
    <t xml:space="preserve">Seasonality reflects NE FL: October peak, Mar-May secondary, Jul-Sep trough.</t>
  </si>
  <si>
    <t xml:space="preserve">M1</t>
  </si>
  <si>
    <t xml:space="preserve">M2</t>
  </si>
  <si>
    <t xml:space="preserve">M3</t>
  </si>
  <si>
    <t xml:space="preserve">M4 Apr</t>
  </si>
  <si>
    <t xml:space="preserve">M5 May</t>
  </si>
  <si>
    <t xml:space="preserve">M6 Jun</t>
  </si>
  <si>
    <t xml:space="preserve">M7 Jul</t>
  </si>
  <si>
    <t xml:space="preserve">M8 Aug</t>
  </si>
  <si>
    <t xml:space="preserve">M9 Sep</t>
  </si>
  <si>
    <t xml:space="preserve">M10 Oct</t>
  </si>
  <si>
    <t xml:space="preserve">M11 Nov</t>
  </si>
  <si>
    <t xml:space="preserve">M12 Dec</t>
  </si>
  <si>
    <t xml:space="preserve">Events</t>
  </si>
  <si>
    <t xml:space="preserve">Avg revenue / event (Y1)</t>
  </si>
  <si>
    <t xml:space="preserve">Revenue</t>
  </si>
  <si>
    <t xml:space="preserve">Gross margin %</t>
  </si>
  <si>
    <t xml:space="preserve">COGS</t>
  </si>
  <si>
    <t xml:space="preserve">Fixed costs (allocated monthly)</t>
  </si>
  <si>
    <t xml:space="preserve">Startup amortized (M1-3)</t>
  </si>
  <si>
    <t xml:space="preserve">Monthly net</t>
  </si>
  <si>
    <t xml:space="preserve">Cumulative net</t>
  </si>
  <si>
    <t xml:space="preserve">3-Year Projection</t>
  </si>
  <si>
    <t xml:space="preserve">Y1 launch. Y2 side income materialized. Y3 fork: stay side or hire to scale.</t>
  </si>
  <si>
    <t xml:space="preserve">Metric</t>
  </si>
  <si>
    <t xml:space="preserve">Volume ramps with venue list inclusion</t>
  </si>
  <si>
    <t xml:space="preserve">Avg revenue / event</t>
  </si>
  <si>
    <t xml:space="preserve">Mix shift toward higher-ticket Weekend lifts avg</t>
  </si>
  <si>
    <t xml:space="preserve">Gross revenue</t>
  </si>
  <si>
    <t xml:space="preserve">Blended GM% (mix-weighted)</t>
  </si>
  <si>
    <t xml:space="preserve">Fixed costs</t>
  </si>
  <si>
    <t xml:space="preserve">Y2 +50% (mktg); Y3 adds Ops Lead salary $45K</t>
  </si>
  <si>
    <t xml:space="preserve">Pre-tax net to founders</t>
  </si>
  <si>
    <t xml:space="preserve">Net margin</t>
  </si>
  <si>
    <t xml:space="preserve">Roster (sitters + handlers)</t>
  </si>
  <si>
    <t xml:space="preserve">8-12</t>
  </si>
  <si>
    <t xml:space="preserve">18-25</t>
  </si>
  <si>
    <t xml:space="preserve">35-50</t>
  </si>
  <si>
    <t xml:space="preserve">Year 1 Sensitivity Scenarios</t>
  </si>
  <si>
    <t xml:space="preserve">What changes the Year 1 outcome</t>
  </si>
  <si>
    <t xml:space="preserve">Scenario</t>
  </si>
  <si>
    <t xml:space="preserve">Avg ticket</t>
  </si>
  <si>
    <t xml:space="preserve">Pre-tax net (Y1)</t>
  </si>
  <si>
    <t xml:space="preserve">Pre-tax net (Y1, ex-startup)</t>
  </si>
  <si>
    <t xml:space="preserve">Trigger / how we get there</t>
  </si>
  <si>
    <t xml:space="preserve">Conservative</t>
  </si>
  <si>
    <t xml:space="preserve">No venue list wins; only direct inquiries</t>
  </si>
  <si>
    <t xml:space="preserve">Base</t>
  </si>
  <si>
    <t xml:space="preserve">1-2 venue lists, 2-3 planner referrals</t>
  </si>
  <si>
    <t xml:space="preserve">Aggressive</t>
  </si>
  <si>
    <t xml:space="preserve">Treasury Group + Omni or Ritz on list by month 6</t>
  </si>
  <si>
    <t xml:space="preserve">Stretch</t>
  </si>
  <si>
    <t xml:space="preserve">All Tier 1 venues + featured editorial coverage</t>
  </si>
  <si>
    <t xml:space="preserve">Breakeven analysis (Year 1, post-launch steady-state)</t>
  </si>
  <si>
    <t xml:space="preserve">Per-event contribution margin (Y1 mix)</t>
  </si>
  <si>
    <t xml:space="preserve">Annual fixed (steady-state)</t>
  </si>
  <si>
    <t xml:space="preserve">Breakeven events (steady-state, ex-startup)</t>
  </si>
  <si>
    <t xml:space="preserve">Breakeven events (incl startup, Y1)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</si>
</sst>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\$#,##0.00;&quot;($&quot;#,##0.00\);\-"/>
    <numFmt numFmtId="167" formatCode="#,##0;\(#,##0\);\-"/>
    <numFmt numFmtId="168" formatCode="0.0%;\(0.0%\);\-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1"/>
      <color rgb="FF6A6A6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EFE6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38"/>
  </cols>
  <sheetData>
    <row r="1" customFormat="false" ht="19.7" hidden="false" customHeight="false" outlineLevel="0" collapsed="false">
      <c r="A1" s="5" t="s">
        <v>29</v>
      </c>
      <c r="B1" s="5"/>
      <c r="C1" s="5"/>
      <c r="D1" s="5"/>
      <c r="E1" s="5"/>
    </row>
    <row r="2" customFormat="false" ht="15" hidden="false" customHeight="false" outlineLevel="0" collapsed="false">
      <c r="A2" s="6" t="s">
        <v>30</v>
      </c>
      <c r="B2" s="6"/>
      <c r="C2" s="6"/>
      <c r="D2" s="6"/>
      <c r="E2" s="6"/>
    </row>
    <row r="3" customFormat="false" ht="15" hidden="false" customHeight="false" outlineLevel="0" collapsed="false">
      <c r="A3" s="6" t="s">
        <v>31</v>
      </c>
      <c r="B3" s="6"/>
      <c r="C3" s="6"/>
      <c r="D3" s="6"/>
      <c r="E3" s="6"/>
    </row>
    <row r="5" customFormat="false" ht="15" hidden="false" customHeight="false" outlineLevel="0" collapsed="false">
      <c r="A5" s="7" t="s">
        <v>32</v>
      </c>
      <c r="B5" s="7"/>
      <c r="C5" s="7"/>
      <c r="D5" s="7"/>
      <c r="E5" s="7"/>
    </row>
    <row r="6" customFormat="false" ht="15" hidden="false" customHeight="false" outlineLevel="0" collapsed="false">
      <c r="A6" s="3" t="s">
        <v>33</v>
      </c>
      <c r="B6" s="8" t="n">
        <v>65</v>
      </c>
      <c r="C6" s="2" t="s">
        <v>34</v>
      </c>
    </row>
    <row r="7" customFormat="false" ht="15" hidden="false" customHeight="false" outlineLevel="0" collapsed="false">
      <c r="A7" s="3" t="s">
        <v>35</v>
      </c>
      <c r="B7" s="8" t="n">
        <v>50</v>
      </c>
      <c r="C7" s="2" t="s">
        <v>34</v>
      </c>
    </row>
    <row r="8" customFormat="false" ht="15" hidden="false" customHeight="false" outlineLevel="0" collapsed="false">
      <c r="A8" s="3" t="s">
        <v>36</v>
      </c>
      <c r="B8" s="8" t="n">
        <v>50</v>
      </c>
      <c r="C8" s="2" t="s">
        <v>37</v>
      </c>
    </row>
    <row r="9" customFormat="false" ht="15" hidden="false" customHeight="false" outlineLevel="0" collapsed="false">
      <c r="A9" s="3" t="s">
        <v>38</v>
      </c>
      <c r="B9" s="8" t="n">
        <v>15</v>
      </c>
      <c r="C9" s="2" t="s">
        <v>39</v>
      </c>
    </row>
    <row r="10" customFormat="false" ht="15" hidden="false" customHeight="false" outlineLevel="0" collapsed="false">
      <c r="A10" s="3" t="s">
        <v>40</v>
      </c>
      <c r="B10" s="8" t="n">
        <v>475</v>
      </c>
      <c r="C10" s="2" t="s">
        <v>37</v>
      </c>
    </row>
    <row r="11" customFormat="false" ht="15" hidden="false" customHeight="false" outlineLevel="0" collapsed="false">
      <c r="A11" s="3" t="s">
        <v>41</v>
      </c>
      <c r="B11" s="8" t="n">
        <v>695</v>
      </c>
      <c r="C11" s="2" t="s">
        <v>37</v>
      </c>
    </row>
    <row r="12" customFormat="false" ht="15" hidden="false" customHeight="false" outlineLevel="0" collapsed="false">
      <c r="A12" s="3" t="s">
        <v>42</v>
      </c>
      <c r="B12" s="8" t="n">
        <v>1275</v>
      </c>
      <c r="C12" s="2" t="s">
        <v>37</v>
      </c>
    </row>
    <row r="13" customFormat="false" ht="15" hidden="false" customHeight="false" outlineLevel="0" collapsed="false">
      <c r="A13" s="3" t="s">
        <v>43</v>
      </c>
      <c r="B13" s="8" t="n">
        <v>150</v>
      </c>
      <c r="C13" s="2" t="s">
        <v>37</v>
      </c>
    </row>
    <row r="14" customFormat="false" ht="15" hidden="false" customHeight="false" outlineLevel="0" collapsed="false">
      <c r="A14" s="3" t="s">
        <v>44</v>
      </c>
      <c r="B14" s="8" t="n">
        <v>95</v>
      </c>
      <c r="C14" s="2" t="s">
        <v>45</v>
      </c>
    </row>
    <row r="15" customFormat="false" ht="15" hidden="false" customHeight="false" outlineLevel="0" collapsed="false">
      <c r="A15" s="3" t="s">
        <v>46</v>
      </c>
      <c r="B15" s="9" t="n">
        <v>1.5</v>
      </c>
      <c r="C15" s="2" t="s">
        <v>47</v>
      </c>
    </row>
    <row r="16" customFormat="false" ht="15" hidden="false" customHeight="false" outlineLevel="0" collapsed="false">
      <c r="A16" s="3" t="s">
        <v>48</v>
      </c>
      <c r="B16" s="8" t="n">
        <v>150</v>
      </c>
      <c r="C16" s="2" t="s">
        <v>49</v>
      </c>
    </row>
    <row r="18" customFormat="false" ht="15" hidden="false" customHeight="false" outlineLevel="0" collapsed="false">
      <c r="A18" s="7" t="s">
        <v>50</v>
      </c>
      <c r="B18" s="7"/>
      <c r="C18" s="7"/>
      <c r="D18" s="7"/>
      <c r="E18" s="7"/>
    </row>
    <row r="19" customFormat="false" ht="15" hidden="false" customHeight="false" outlineLevel="0" collapsed="false">
      <c r="A19" s="3" t="s">
        <v>51</v>
      </c>
      <c r="B19" s="9" t="n">
        <v>32</v>
      </c>
      <c r="C19" s="2" t="s">
        <v>34</v>
      </c>
    </row>
    <row r="20" customFormat="false" ht="15" hidden="false" customHeight="false" outlineLevel="0" collapsed="false">
      <c r="A20" s="3" t="s">
        <v>52</v>
      </c>
      <c r="B20" s="9" t="n">
        <v>25</v>
      </c>
      <c r="C20" s="2" t="s">
        <v>34</v>
      </c>
    </row>
    <row r="21" customFormat="false" ht="15" hidden="false" customHeight="false" outlineLevel="0" collapsed="false">
      <c r="A21" s="3" t="s">
        <v>53</v>
      </c>
      <c r="B21" s="9" t="n">
        <v>130</v>
      </c>
      <c r="C21" s="2" t="s">
        <v>37</v>
      </c>
    </row>
    <row r="22" customFormat="false" ht="15" hidden="false" customHeight="false" outlineLevel="0" collapsed="false">
      <c r="A22" s="3" t="s">
        <v>54</v>
      </c>
      <c r="B22" s="9" t="n">
        <v>195</v>
      </c>
      <c r="C22" s="2" t="s">
        <v>37</v>
      </c>
    </row>
    <row r="23" customFormat="false" ht="15" hidden="false" customHeight="false" outlineLevel="0" collapsed="false">
      <c r="A23" s="3" t="s">
        <v>55</v>
      </c>
      <c r="B23" s="9" t="n">
        <v>425</v>
      </c>
      <c r="C23" s="2" t="s">
        <v>37</v>
      </c>
    </row>
    <row r="24" customFormat="false" ht="15" hidden="false" customHeight="false" outlineLevel="0" collapsed="false">
      <c r="A24" s="3" t="s">
        <v>56</v>
      </c>
      <c r="B24" s="9" t="n">
        <v>7.5</v>
      </c>
      <c r="C24" s="2" t="s">
        <v>57</v>
      </c>
    </row>
    <row r="25" customFormat="false" ht="15" hidden="false" customHeight="false" outlineLevel="0" collapsed="false">
      <c r="A25" s="3" t="s">
        <v>58</v>
      </c>
      <c r="B25" s="9" t="n">
        <v>30</v>
      </c>
      <c r="C25" s="2" t="s">
        <v>59</v>
      </c>
    </row>
    <row r="27" customFormat="false" ht="15" hidden="false" customHeight="false" outlineLevel="0" collapsed="false">
      <c r="A27" s="7" t="s">
        <v>60</v>
      </c>
      <c r="B27" s="7"/>
      <c r="C27" s="7"/>
      <c r="D27" s="7"/>
      <c r="E27" s="7"/>
    </row>
    <row r="28" customFormat="false" ht="15" hidden="false" customHeight="false" outlineLevel="0" collapsed="false">
      <c r="A28" s="3" t="s">
        <v>61</v>
      </c>
      <c r="B28" s="10" t="n">
        <v>8</v>
      </c>
      <c r="C28" s="2" t="s">
        <v>62</v>
      </c>
    </row>
    <row r="29" customFormat="false" ht="15" hidden="false" customHeight="false" outlineLevel="0" collapsed="false">
      <c r="A29" s="3" t="s">
        <v>63</v>
      </c>
      <c r="B29" s="10" t="n">
        <v>2</v>
      </c>
      <c r="C29" s="2" t="s">
        <v>64</v>
      </c>
    </row>
    <row r="30" customFormat="false" ht="15" hidden="false" customHeight="false" outlineLevel="0" collapsed="false">
      <c r="A30" s="3" t="s">
        <v>65</v>
      </c>
      <c r="B30" s="10" t="n">
        <v>6</v>
      </c>
      <c r="C30" s="2" t="s">
        <v>66</v>
      </c>
    </row>
    <row r="31" customFormat="false" ht="15" hidden="false" customHeight="false" outlineLevel="0" collapsed="false">
      <c r="A31" s="3" t="s">
        <v>67</v>
      </c>
      <c r="B31" s="8" t="n">
        <v>2400</v>
      </c>
      <c r="C31" s="2" t="s">
        <v>59</v>
      </c>
    </row>
    <row r="32" customFormat="false" ht="15" hidden="false" customHeight="false" outlineLevel="0" collapsed="false">
      <c r="A32" s="3" t="s">
        <v>68</v>
      </c>
      <c r="B32" s="10" t="n">
        <v>12</v>
      </c>
      <c r="C32" s="2" t="s">
        <v>69</v>
      </c>
    </row>
    <row r="34" customFormat="false" ht="15" hidden="false" customHeight="false" outlineLevel="0" collapsed="false">
      <c r="A34" s="7" t="s">
        <v>70</v>
      </c>
      <c r="B34" s="7"/>
      <c r="C34" s="7"/>
      <c r="D34" s="7"/>
      <c r="E34" s="7"/>
    </row>
    <row r="35" customFormat="false" ht="15" hidden="false" customHeight="false" outlineLevel="0" collapsed="false">
      <c r="A35" s="11"/>
      <c r="B35" s="11" t="s">
        <v>71</v>
      </c>
      <c r="C35" s="11" t="s">
        <v>72</v>
      </c>
      <c r="D35" s="11" t="s">
        <v>73</v>
      </c>
    </row>
    <row r="36" customFormat="false" ht="15" hidden="false" customHeight="false" outlineLevel="0" collapsed="false">
      <c r="A36" s="3" t="s">
        <v>74</v>
      </c>
      <c r="B36" s="10" t="n">
        <v>30</v>
      </c>
      <c r="C36" s="10" t="n">
        <v>80</v>
      </c>
      <c r="D36" s="10" t="n">
        <v>180</v>
      </c>
    </row>
    <row r="37" customFormat="false" ht="15" hidden="false" customHeight="false" outlineLevel="0" collapsed="false">
      <c r="A37" s="3" t="s">
        <v>75</v>
      </c>
      <c r="B37" s="8" t="n">
        <v>650</v>
      </c>
      <c r="C37" s="8" t="n">
        <v>750</v>
      </c>
      <c r="D37" s="8" t="n">
        <v>850</v>
      </c>
      <c r="E37" s="2" t="s">
        <v>76</v>
      </c>
    </row>
    <row r="38" customFormat="false" ht="15" hidden="false" customHeight="false" outlineLevel="0" collapsed="false">
      <c r="A38" s="3" t="s">
        <v>77</v>
      </c>
      <c r="B38" s="12" t="n">
        <v>0.65</v>
      </c>
      <c r="C38" s="12" t="n">
        <v>0.55</v>
      </c>
      <c r="D38" s="12" t="n">
        <v>0.45</v>
      </c>
    </row>
    <row r="39" customFormat="false" ht="15" hidden="false" customHeight="false" outlineLevel="0" collapsed="false">
      <c r="A39" s="3" t="s">
        <v>78</v>
      </c>
      <c r="B39" s="12" t="n">
        <v>0.25</v>
      </c>
      <c r="C39" s="12" t="n">
        <v>0.25</v>
      </c>
      <c r="D39" s="12" t="n">
        <v>0.25</v>
      </c>
    </row>
    <row r="40" customFormat="false" ht="15" hidden="false" customHeight="false" outlineLevel="0" collapsed="false">
      <c r="A40" s="3" t="s">
        <v>79</v>
      </c>
      <c r="B40" s="12" t="n">
        <v>0.1</v>
      </c>
      <c r="C40" s="12" t="n">
        <v>0.2</v>
      </c>
      <c r="D40" s="12" t="n">
        <v>0.3</v>
      </c>
    </row>
    <row r="42" customFormat="false" ht="15" hidden="false" customHeight="false" outlineLevel="0" collapsed="false">
      <c r="A42" s="7" t="s">
        <v>80</v>
      </c>
      <c r="B42" s="7"/>
      <c r="C42" s="7"/>
      <c r="D42" s="7"/>
      <c r="E42" s="7"/>
    </row>
    <row r="43" customFormat="false" ht="15" hidden="false" customHeight="false" outlineLevel="0" collapsed="false">
      <c r="A43" s="3" t="s">
        <v>81</v>
      </c>
      <c r="B43" s="8" t="n">
        <v>1400</v>
      </c>
    </row>
    <row r="44" customFormat="false" ht="15" hidden="false" customHeight="false" outlineLevel="0" collapsed="false">
      <c r="A44" s="3" t="s">
        <v>82</v>
      </c>
      <c r="B44" s="8" t="n">
        <v>2000</v>
      </c>
    </row>
    <row r="45" customFormat="false" ht="15" hidden="false" customHeight="false" outlineLevel="0" collapsed="false">
      <c r="A45" s="3" t="s">
        <v>83</v>
      </c>
      <c r="B45" s="8" t="n">
        <v>280</v>
      </c>
    </row>
    <row r="46" customFormat="false" ht="15" hidden="false" customHeight="false" outlineLevel="0" collapsed="false">
      <c r="A46" s="3" t="s">
        <v>84</v>
      </c>
      <c r="B46" s="8" t="n">
        <v>3000</v>
      </c>
    </row>
    <row r="47" customFormat="false" ht="15" hidden="false" customHeight="false" outlineLevel="0" collapsed="false">
      <c r="A47" s="3" t="s">
        <v>85</v>
      </c>
      <c r="B47" s="8" t="n">
        <v>1500</v>
      </c>
    </row>
    <row r="48" customFormat="false" ht="15" hidden="false" customHeight="false" outlineLevel="0" collapsed="false">
      <c r="A48" s="3" t="s">
        <v>86</v>
      </c>
      <c r="B48" s="8" t="n">
        <v>600</v>
      </c>
    </row>
    <row r="49" customFormat="false" ht="15" hidden="false" customHeight="false" outlineLevel="0" collapsed="false">
      <c r="A49" s="3" t="s">
        <v>87</v>
      </c>
      <c r="B49" s="8" t="n">
        <v>600</v>
      </c>
    </row>
    <row r="50" customFormat="false" ht="15" hidden="false" customHeight="false" outlineLevel="0" collapsed="false">
      <c r="A50" s="3" t="s">
        <v>88</v>
      </c>
      <c r="B50" s="8" t="n">
        <v>1200</v>
      </c>
    </row>
    <row r="51" customFormat="false" ht="15" hidden="false" customHeight="false" outlineLevel="0" collapsed="false">
      <c r="A51" s="3" t="s">
        <v>89</v>
      </c>
      <c r="B51" s="8" t="n">
        <v>800</v>
      </c>
    </row>
    <row r="52" customFormat="false" ht="15" hidden="false" customHeight="false" outlineLevel="0" collapsed="false">
      <c r="A52" s="13" t="s">
        <v>90</v>
      </c>
      <c r="B52" s="14" t="n">
        <f aca="false">SUM(B43:B51)</f>
        <v>11380</v>
      </c>
    </row>
  </sheetData>
  <mergeCells count="8">
    <mergeCell ref="A1:E1"/>
    <mergeCell ref="A2:E2"/>
    <mergeCell ref="A3:E3"/>
    <mergeCell ref="A5:E5"/>
    <mergeCell ref="A18:E18"/>
    <mergeCell ref="A27:E27"/>
    <mergeCell ref="A34:E34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5" t="s">
        <v>91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92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93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3" t="s">
        <v>94</v>
      </c>
      <c r="B5" s="15" t="n">
        <f aca="false">Assumptions!B6*Assumptions!B30</f>
        <v>390</v>
      </c>
    </row>
    <row r="6" customFormat="false" ht="15" hidden="false" customHeight="false" outlineLevel="0" collapsed="false">
      <c r="A6" s="3" t="s">
        <v>95</v>
      </c>
      <c r="B6" s="15" t="n">
        <f aca="false">Assumptions!B7*Assumptions!B30*(Assumptions!B29-1)</f>
        <v>300</v>
      </c>
    </row>
    <row r="7" customFormat="false" ht="15" hidden="false" customHeight="false" outlineLevel="0" collapsed="false">
      <c r="A7" s="3" t="s">
        <v>96</v>
      </c>
      <c r="B7" s="15" t="n">
        <f aca="false">Assumptions!B8</f>
        <v>50</v>
      </c>
    </row>
    <row r="8" customFormat="false" ht="15" hidden="false" customHeight="false" outlineLevel="0" collapsed="false">
      <c r="A8" s="3" t="s">
        <v>97</v>
      </c>
      <c r="B8" s="15" t="n">
        <f aca="false">Assumptions!B16</f>
        <v>150</v>
      </c>
    </row>
    <row r="9" customFormat="false" ht="15" hidden="false" customHeight="false" outlineLevel="0" collapsed="false">
      <c r="A9" s="13" t="s">
        <v>98</v>
      </c>
      <c r="B9" s="14" t="n">
        <f aca="false">SUM(B5:B8)</f>
        <v>890</v>
      </c>
    </row>
    <row r="10" customFormat="false" ht="15" hidden="false" customHeight="false" outlineLevel="0" collapsed="false">
      <c r="A10" s="3" t="s">
        <v>99</v>
      </c>
      <c r="B10" s="15" t="n">
        <f aca="false">Assumptions!B19*Assumptions!B30</f>
        <v>192</v>
      </c>
    </row>
    <row r="11" customFormat="false" ht="15" hidden="false" customHeight="false" outlineLevel="0" collapsed="false">
      <c r="A11" s="3" t="s">
        <v>100</v>
      </c>
      <c r="B11" s="15" t="n">
        <f aca="false">Assumptions!B20*Assumptions!B30*(Assumptions!B29-1)</f>
        <v>150</v>
      </c>
    </row>
    <row r="12" customFormat="false" ht="15" hidden="false" customHeight="false" outlineLevel="0" collapsed="false">
      <c r="A12" s="3" t="s">
        <v>101</v>
      </c>
      <c r="B12" s="15" t="n">
        <f aca="false">Assumptions!B24*Assumptions!B28</f>
        <v>60</v>
      </c>
    </row>
    <row r="13" customFormat="false" ht="15" hidden="false" customHeight="false" outlineLevel="0" collapsed="false">
      <c r="A13" s="13" t="s">
        <v>102</v>
      </c>
      <c r="B13" s="14" t="n">
        <f aca="false">SUM(B10:B12)</f>
        <v>402</v>
      </c>
    </row>
    <row r="14" customFormat="false" ht="15" hidden="false" customHeight="false" outlineLevel="0" collapsed="false">
      <c r="A14" s="13" t="s">
        <v>103</v>
      </c>
      <c r="B14" s="14" t="n">
        <f aca="false">B9-B13</f>
        <v>488</v>
      </c>
    </row>
    <row r="15" customFormat="false" ht="15" hidden="false" customHeight="false" outlineLevel="0" collapsed="false">
      <c r="A15" s="13" t="s">
        <v>104</v>
      </c>
      <c r="B15" s="16" t="n">
        <f aca="false">B14/B9</f>
        <v>0.548314606741573</v>
      </c>
    </row>
    <row r="17" customFormat="false" ht="15" hidden="false" customHeight="false" outlineLevel="0" collapsed="false">
      <c r="A17" s="7" t="s">
        <v>105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3" t="s">
        <v>106</v>
      </c>
      <c r="B18" s="15" t="n">
        <f aca="false">Assumptions!B10</f>
        <v>475</v>
      </c>
    </row>
    <row r="19" customFormat="false" ht="15" hidden="false" customHeight="false" outlineLevel="0" collapsed="false">
      <c r="A19" s="3" t="s">
        <v>107</v>
      </c>
      <c r="B19" s="15" t="n">
        <f aca="false">Assumptions!B21</f>
        <v>130</v>
      </c>
    </row>
    <row r="20" customFormat="false" ht="15" hidden="false" customHeight="false" outlineLevel="0" collapsed="false">
      <c r="A20" s="3" t="s">
        <v>108</v>
      </c>
      <c r="B20" s="15" t="n">
        <f aca="false">Assumptions!B25</f>
        <v>30</v>
      </c>
    </row>
    <row r="21" customFormat="false" ht="15" hidden="false" customHeight="false" outlineLevel="0" collapsed="false">
      <c r="A21" s="13" t="s">
        <v>102</v>
      </c>
      <c r="B21" s="14" t="n">
        <f aca="false">SUM(B19:B20)</f>
        <v>160</v>
      </c>
    </row>
    <row r="22" customFormat="false" ht="15" hidden="false" customHeight="false" outlineLevel="0" collapsed="false">
      <c r="A22" s="13" t="s">
        <v>103</v>
      </c>
      <c r="B22" s="14" t="n">
        <f aca="false">B18-B21</f>
        <v>315</v>
      </c>
    </row>
    <row r="23" customFormat="false" ht="15" hidden="false" customHeight="false" outlineLevel="0" collapsed="false">
      <c r="A23" s="13" t="s">
        <v>104</v>
      </c>
      <c r="B23" s="16" t="n">
        <f aca="false">B22/B18</f>
        <v>0.663157894736842</v>
      </c>
    </row>
    <row r="25" customFormat="false" ht="15" hidden="false" customHeight="false" outlineLevel="0" collapsed="false">
      <c r="A25" s="7" t="s">
        <v>109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3" t="s">
        <v>110</v>
      </c>
      <c r="B26" s="15" t="n">
        <f aca="false">Assumptions!B31</f>
        <v>2400</v>
      </c>
    </row>
    <row r="27" customFormat="false" ht="15" hidden="false" customHeight="false" outlineLevel="0" collapsed="false">
      <c r="A27" s="3" t="s">
        <v>111</v>
      </c>
      <c r="B27" s="15" t="n">
        <f aca="false">Assumptions!B32*Assumptions!B29*((Assumptions!B19+Assumptions!B20)/2)</f>
        <v>684</v>
      </c>
    </row>
    <row r="28" customFormat="false" ht="15" hidden="false" customHeight="false" outlineLevel="0" collapsed="false">
      <c r="A28" s="3" t="s">
        <v>53</v>
      </c>
      <c r="B28" s="15" t="n">
        <f aca="false">Assumptions!B21</f>
        <v>130</v>
      </c>
    </row>
    <row r="29" customFormat="false" ht="15" hidden="false" customHeight="false" outlineLevel="0" collapsed="false">
      <c r="A29" s="3" t="s">
        <v>112</v>
      </c>
      <c r="B29" s="15" t="n">
        <f aca="false">Assumptions!B24*Assumptions!B28+Assumptions!B25</f>
        <v>90</v>
      </c>
    </row>
    <row r="30" customFormat="false" ht="15" hidden="false" customHeight="false" outlineLevel="0" collapsed="false">
      <c r="A30" s="13" t="s">
        <v>102</v>
      </c>
      <c r="B30" s="14" t="n">
        <f aca="false">SUM(B27:B29)</f>
        <v>904</v>
      </c>
    </row>
    <row r="31" customFormat="false" ht="15" hidden="false" customHeight="false" outlineLevel="0" collapsed="false">
      <c r="A31" s="13" t="s">
        <v>103</v>
      </c>
      <c r="B31" s="14" t="n">
        <f aca="false">B26-B30</f>
        <v>1496</v>
      </c>
    </row>
    <row r="32" customFormat="false" ht="15" hidden="false" customHeight="false" outlineLevel="0" collapsed="false">
      <c r="A32" s="13" t="s">
        <v>104</v>
      </c>
      <c r="B32" s="16" t="n">
        <f aca="false">B31/B26</f>
        <v>0.623333333333333</v>
      </c>
    </row>
    <row r="34" customFormat="false" ht="15" hidden="false" customHeight="false" outlineLevel="0" collapsed="false">
      <c r="A34" s="7" t="s">
        <v>113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17" t="s">
        <v>114</v>
      </c>
      <c r="B35" s="17" t="s">
        <v>115</v>
      </c>
      <c r="C35" s="17" t="s">
        <v>116</v>
      </c>
      <c r="D35" s="17" t="s">
        <v>117</v>
      </c>
      <c r="E35" s="17" t="s">
        <v>118</v>
      </c>
      <c r="F35" s="17" t="s">
        <v>119</v>
      </c>
    </row>
    <row r="36" customFormat="false" ht="15" hidden="false" customHeight="false" outlineLevel="0" collapsed="false">
      <c r="A36" s="3" t="s">
        <v>120</v>
      </c>
      <c r="B36" s="18" t="n">
        <f aca="false">B9</f>
        <v>890</v>
      </c>
      <c r="C36" s="18" t="n">
        <f aca="false">B13</f>
        <v>402</v>
      </c>
      <c r="D36" s="18" t="n">
        <f aca="false">B36-C36</f>
        <v>488</v>
      </c>
      <c r="E36" s="19" t="n">
        <f aca="false">Assumptions!B38</f>
        <v>0.65</v>
      </c>
      <c r="F36" s="19" t="n">
        <f aca="false">Assumptions!C38</f>
        <v>0.55</v>
      </c>
    </row>
    <row r="37" customFormat="false" ht="15" hidden="false" customHeight="false" outlineLevel="0" collapsed="false">
      <c r="A37" s="3" t="s">
        <v>121</v>
      </c>
      <c r="B37" s="18" t="n">
        <f aca="false">B18</f>
        <v>475</v>
      </c>
      <c r="C37" s="18" t="n">
        <f aca="false">B21</f>
        <v>160</v>
      </c>
      <c r="D37" s="18" t="n">
        <f aca="false">B37-C37</f>
        <v>315</v>
      </c>
      <c r="E37" s="19" t="n">
        <f aca="false">Assumptions!B39</f>
        <v>0.25</v>
      </c>
      <c r="F37" s="19" t="n">
        <f aca="false">Assumptions!C39</f>
        <v>0.25</v>
      </c>
    </row>
    <row r="38" customFormat="false" ht="15" hidden="false" customHeight="false" outlineLevel="0" collapsed="false">
      <c r="A38" s="3" t="s">
        <v>122</v>
      </c>
      <c r="B38" s="18" t="n">
        <f aca="false">B26</f>
        <v>2400</v>
      </c>
      <c r="C38" s="18" t="n">
        <f aca="false">B30</f>
        <v>904</v>
      </c>
      <c r="D38" s="18" t="n">
        <f aca="false">B38-C38</f>
        <v>1496</v>
      </c>
      <c r="E38" s="19" t="n">
        <f aca="false">Assumptions!B40</f>
        <v>0.1</v>
      </c>
      <c r="F38" s="19" t="n">
        <f aca="false">Assumptions!C40</f>
        <v>0.2</v>
      </c>
    </row>
    <row r="39" customFormat="false" ht="15" hidden="false" customHeight="false" outlineLevel="0" collapsed="false">
      <c r="A39" s="17" t="s">
        <v>123</v>
      </c>
      <c r="B39" s="14" t="n">
        <f aca="false">SUMPRODUCT(B36:B38,E36:E38)</f>
        <v>937.25</v>
      </c>
      <c r="C39" s="14" t="n">
        <f aca="false">SUMPRODUCT(C36:C38,E36:E38)</f>
        <v>391.7</v>
      </c>
      <c r="D39" s="14" t="n">
        <f aca="false">B39-C39</f>
        <v>545.55</v>
      </c>
      <c r="E39" s="2" t="s">
        <v>124</v>
      </c>
    </row>
  </sheetData>
  <mergeCells count="6">
    <mergeCell ref="A1:F1"/>
    <mergeCell ref="A2:F2"/>
    <mergeCell ref="A4:F4"/>
    <mergeCell ref="A17:F17"/>
    <mergeCell ref="A25:F25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38"/>
  </cols>
  <sheetData>
    <row r="1" customFormat="false" ht="19.7" hidden="false" customHeight="false" outlineLevel="0" collapsed="false">
      <c r="A1" s="5" t="s">
        <v>125</v>
      </c>
      <c r="B1" s="5"/>
      <c r="C1" s="5"/>
    </row>
    <row r="2" customFormat="false" ht="15" hidden="false" customHeight="false" outlineLevel="0" collapsed="false">
      <c r="A2" s="6" t="s">
        <v>126</v>
      </c>
      <c r="B2" s="6"/>
      <c r="C2" s="6"/>
    </row>
    <row r="4" customFormat="false" ht="15" hidden="false" customHeight="false" outlineLevel="0" collapsed="false">
      <c r="A4" s="20" t="s">
        <v>127</v>
      </c>
      <c r="B4" s="20" t="s">
        <v>128</v>
      </c>
      <c r="C4" s="20" t="s">
        <v>129</v>
      </c>
    </row>
    <row r="5" customFormat="false" ht="15" hidden="false" customHeight="false" outlineLevel="0" collapsed="false">
      <c r="A5" s="3" t="s">
        <v>130</v>
      </c>
      <c r="B5" s="8" t="n">
        <v>250</v>
      </c>
      <c r="C5" s="2" t="s">
        <v>131</v>
      </c>
    </row>
    <row r="6" customFormat="false" ht="15" hidden="false" customHeight="false" outlineLevel="0" collapsed="false">
      <c r="A6" s="21" t="s">
        <v>132</v>
      </c>
      <c r="B6" s="22" t="n">
        <v>1000</v>
      </c>
      <c r="C6" s="23" t="s">
        <v>133</v>
      </c>
    </row>
    <row r="7" customFormat="false" ht="15" hidden="false" customHeight="false" outlineLevel="0" collapsed="false">
      <c r="A7" s="3" t="s">
        <v>134</v>
      </c>
      <c r="B7" s="8" t="n">
        <v>1400</v>
      </c>
      <c r="C7" s="2" t="s">
        <v>135</v>
      </c>
    </row>
    <row r="8" customFormat="false" ht="15" hidden="false" customHeight="false" outlineLevel="0" collapsed="false">
      <c r="A8" s="21" t="s">
        <v>136</v>
      </c>
      <c r="B8" s="22" t="n">
        <v>1200</v>
      </c>
      <c r="C8" s="23" t="s">
        <v>137</v>
      </c>
    </row>
    <row r="9" customFormat="false" ht="15" hidden="false" customHeight="false" outlineLevel="0" collapsed="false">
      <c r="A9" s="3" t="s">
        <v>138</v>
      </c>
      <c r="B9" s="8" t="n">
        <v>600</v>
      </c>
      <c r="C9" s="2" t="s">
        <v>139</v>
      </c>
    </row>
    <row r="10" customFormat="false" ht="15" hidden="false" customHeight="false" outlineLevel="0" collapsed="false">
      <c r="A10" s="21" t="s">
        <v>140</v>
      </c>
      <c r="B10" s="22" t="n">
        <v>300</v>
      </c>
      <c r="C10" s="23"/>
    </row>
    <row r="11" customFormat="false" ht="15" hidden="false" customHeight="false" outlineLevel="0" collapsed="false">
      <c r="A11" s="3" t="s">
        <v>141</v>
      </c>
      <c r="B11" s="8" t="n">
        <v>800</v>
      </c>
      <c r="C11" s="2" t="s">
        <v>142</v>
      </c>
    </row>
    <row r="12" customFormat="false" ht="15" hidden="false" customHeight="false" outlineLevel="0" collapsed="false">
      <c r="A12" s="21" t="s">
        <v>143</v>
      </c>
      <c r="B12" s="22" t="n">
        <v>400</v>
      </c>
      <c r="C12" s="23" t="s">
        <v>144</v>
      </c>
    </row>
    <row r="13" customFormat="false" ht="15" hidden="false" customHeight="false" outlineLevel="0" collapsed="false">
      <c r="A13" s="3" t="s">
        <v>145</v>
      </c>
      <c r="B13" s="8" t="n">
        <v>700</v>
      </c>
      <c r="C13" s="2" t="s">
        <v>146</v>
      </c>
    </row>
    <row r="14" customFormat="false" ht="15" hidden="false" customHeight="false" outlineLevel="0" collapsed="false">
      <c r="A14" s="21" t="s">
        <v>147</v>
      </c>
      <c r="B14" s="22" t="n">
        <v>900</v>
      </c>
      <c r="C14" s="23"/>
    </row>
    <row r="15" customFormat="false" ht="15" hidden="false" customHeight="false" outlineLevel="0" collapsed="false">
      <c r="A15" s="3" t="s">
        <v>148</v>
      </c>
      <c r="B15" s="8" t="n">
        <v>1500</v>
      </c>
      <c r="C15" s="2" t="s">
        <v>149</v>
      </c>
    </row>
    <row r="16" customFormat="false" ht="15" hidden="false" customHeight="false" outlineLevel="0" collapsed="false">
      <c r="A16" s="21" t="s">
        <v>150</v>
      </c>
      <c r="B16" s="22" t="n">
        <v>450</v>
      </c>
      <c r="C16" s="23" t="s">
        <v>151</v>
      </c>
    </row>
    <row r="17" customFormat="false" ht="15" hidden="false" customHeight="false" outlineLevel="0" collapsed="false">
      <c r="A17" s="13" t="s">
        <v>152</v>
      </c>
      <c r="B17" s="24" t="n">
        <f aca="false">SUM(B5:B16)</f>
        <v>9500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"/>
    <col collapsed="false" customWidth="true" hidden="false" outlineLevel="0" max="14" min="14" style="0" width="14"/>
  </cols>
  <sheetData>
    <row r="1" customFormat="false" ht="19.7" hidden="false" customHeight="false" outlineLevel="0" collapsed="false">
      <c r="A1" s="5" t="s">
        <v>153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6" t="s">
        <v>154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customFormat="false" ht="15" hidden="false" customHeight="false" outlineLevel="0" collapsed="false">
      <c r="A4" s="25"/>
      <c r="B4" s="25" t="s">
        <v>155</v>
      </c>
      <c r="C4" s="25" t="s">
        <v>156</v>
      </c>
      <c r="D4" s="25" t="s">
        <v>157</v>
      </c>
      <c r="E4" s="25" t="s">
        <v>158</v>
      </c>
      <c r="F4" s="25" t="s">
        <v>159</v>
      </c>
      <c r="G4" s="25" t="s">
        <v>160</v>
      </c>
      <c r="H4" s="25" t="s">
        <v>161</v>
      </c>
      <c r="I4" s="25" t="s">
        <v>162</v>
      </c>
      <c r="J4" s="25" t="s">
        <v>163</v>
      </c>
      <c r="K4" s="25" t="s">
        <v>164</v>
      </c>
      <c r="L4" s="25" t="s">
        <v>165</v>
      </c>
      <c r="M4" s="25" t="s">
        <v>166</v>
      </c>
      <c r="N4" s="25" t="s">
        <v>71</v>
      </c>
    </row>
    <row r="5" customFormat="false" ht="15" hidden="false" customHeight="false" outlineLevel="0" collapsed="false">
      <c r="A5" s="13" t="s">
        <v>167</v>
      </c>
      <c r="B5" s="26" t="n">
        <v>0</v>
      </c>
      <c r="C5" s="26" t="n">
        <v>0</v>
      </c>
      <c r="D5" s="26" t="n">
        <v>0</v>
      </c>
      <c r="E5" s="26" t="n">
        <v>2</v>
      </c>
      <c r="F5" s="26" t="n">
        <v>3</v>
      </c>
      <c r="G5" s="26" t="n">
        <v>2</v>
      </c>
      <c r="H5" s="26" t="n">
        <v>1</v>
      </c>
      <c r="I5" s="26" t="n">
        <v>1</v>
      </c>
      <c r="J5" s="26" t="n">
        <v>2</v>
      </c>
      <c r="K5" s="26" t="n">
        <v>8</v>
      </c>
      <c r="L5" s="26" t="n">
        <v>6</v>
      </c>
      <c r="M5" s="26" t="n">
        <v>5</v>
      </c>
      <c r="N5" s="27" t="n">
        <f aca="false">SUM(B5:M5)</f>
        <v>30</v>
      </c>
    </row>
    <row r="6" customFormat="false" ht="15" hidden="false" customHeight="false" outlineLevel="0" collapsed="false">
      <c r="A6" s="3" t="s">
        <v>168</v>
      </c>
      <c r="B6" s="15" t="n">
        <f aca="false">Assumptions!B37</f>
        <v>650</v>
      </c>
      <c r="C6" s="15" t="n">
        <f aca="false">Assumptions!B37</f>
        <v>650</v>
      </c>
      <c r="D6" s="15" t="n">
        <f aca="false">Assumptions!B37</f>
        <v>650</v>
      </c>
      <c r="E6" s="15" t="n">
        <f aca="false">Assumptions!B37</f>
        <v>650</v>
      </c>
      <c r="F6" s="15" t="n">
        <f aca="false">Assumptions!B37</f>
        <v>650</v>
      </c>
      <c r="G6" s="15" t="n">
        <f aca="false">Assumptions!B37</f>
        <v>650</v>
      </c>
      <c r="H6" s="15" t="n">
        <f aca="false">Assumptions!B37</f>
        <v>650</v>
      </c>
      <c r="I6" s="15" t="n">
        <f aca="false">Assumptions!B37</f>
        <v>650</v>
      </c>
      <c r="J6" s="15" t="n">
        <f aca="false">Assumptions!B37</f>
        <v>650</v>
      </c>
      <c r="K6" s="15" t="n">
        <f aca="false">Assumptions!B37</f>
        <v>650</v>
      </c>
      <c r="L6" s="15" t="n">
        <f aca="false">Assumptions!B37</f>
        <v>650</v>
      </c>
      <c r="M6" s="15" t="n">
        <f aca="false">Assumptions!B37</f>
        <v>650</v>
      </c>
    </row>
    <row r="7" customFormat="false" ht="15" hidden="false" customHeight="false" outlineLevel="0" collapsed="false">
      <c r="A7" s="13" t="s">
        <v>169</v>
      </c>
      <c r="B7" s="28" t="n">
        <f aca="false">B5*B6</f>
        <v>0</v>
      </c>
      <c r="C7" s="28" t="n">
        <f aca="false">C5*C6</f>
        <v>0</v>
      </c>
      <c r="D7" s="28" t="n">
        <f aca="false">D5*D6</f>
        <v>0</v>
      </c>
      <c r="E7" s="28" t="n">
        <f aca="false">E5*E6</f>
        <v>1300</v>
      </c>
      <c r="F7" s="28" t="n">
        <f aca="false">F5*F6</f>
        <v>1950</v>
      </c>
      <c r="G7" s="28" t="n">
        <f aca="false">G5*G6</f>
        <v>1300</v>
      </c>
      <c r="H7" s="28" t="n">
        <f aca="false">H5*H6</f>
        <v>650</v>
      </c>
      <c r="I7" s="28" t="n">
        <f aca="false">I5*I6</f>
        <v>650</v>
      </c>
      <c r="J7" s="28" t="n">
        <f aca="false">J5*J6</f>
        <v>1300</v>
      </c>
      <c r="K7" s="28" t="n">
        <f aca="false">K5*K6</f>
        <v>5200</v>
      </c>
      <c r="L7" s="28" t="n">
        <f aca="false">L5*L6</f>
        <v>3900</v>
      </c>
      <c r="M7" s="28" t="n">
        <f aca="false">M5*M6</f>
        <v>3250</v>
      </c>
      <c r="N7" s="14" t="n">
        <f aca="false">SUM(B7:M7)</f>
        <v>19500</v>
      </c>
    </row>
    <row r="8" customFormat="false" ht="15" hidden="false" customHeight="false" outlineLevel="0" collapsed="false">
      <c r="A8" s="3" t="s">
        <v>170</v>
      </c>
      <c r="B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C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D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E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F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G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H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I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J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K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L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M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</row>
    <row r="9" customFormat="false" ht="15" hidden="false" customHeight="false" outlineLevel="0" collapsed="false">
      <c r="A9" s="3" t="s">
        <v>171</v>
      </c>
      <c r="B9" s="18" t="n">
        <f aca="false">B7*(1-B8)</f>
        <v>0</v>
      </c>
      <c r="C9" s="18" t="n">
        <f aca="false">C7*(1-C8)</f>
        <v>0</v>
      </c>
      <c r="D9" s="18" t="n">
        <f aca="false">D7*(1-D8)</f>
        <v>0</v>
      </c>
      <c r="E9" s="18" t="n">
        <f aca="false">E7*(1-E8)</f>
        <v>543.302213923713</v>
      </c>
      <c r="F9" s="18" t="n">
        <f aca="false">F7*(1-F8)</f>
        <v>814.95332088557</v>
      </c>
      <c r="G9" s="18" t="n">
        <f aca="false">G7*(1-G8)</f>
        <v>543.302213923713</v>
      </c>
      <c r="H9" s="18" t="n">
        <f aca="false">H7*(1-H8)</f>
        <v>271.651106961857</v>
      </c>
      <c r="I9" s="18" t="n">
        <f aca="false">I7*(1-I8)</f>
        <v>271.651106961857</v>
      </c>
      <c r="J9" s="18" t="n">
        <f aca="false">J7*(1-J8)</f>
        <v>543.302213923713</v>
      </c>
      <c r="K9" s="18" t="n">
        <f aca="false">K7*(1-K8)</f>
        <v>2173.20885569485</v>
      </c>
      <c r="L9" s="18" t="n">
        <f aca="false">L7*(1-L8)</f>
        <v>1629.90664177114</v>
      </c>
      <c r="M9" s="18" t="n">
        <f aca="false">M7*(1-M8)</f>
        <v>1358.25553480928</v>
      </c>
      <c r="N9" s="28" t="n">
        <f aca="false">SUM(B9:M9)</f>
        <v>8149.5332088557</v>
      </c>
    </row>
    <row r="10" customFormat="false" ht="15" hidden="false" customHeight="false" outlineLevel="0" collapsed="false">
      <c r="A10" s="13" t="s">
        <v>103</v>
      </c>
      <c r="B10" s="28" t="n">
        <f aca="false">B7-B9</f>
        <v>0</v>
      </c>
      <c r="C10" s="28" t="n">
        <f aca="false">C7-C9</f>
        <v>0</v>
      </c>
      <c r="D10" s="28" t="n">
        <f aca="false">D7-D9</f>
        <v>0</v>
      </c>
      <c r="E10" s="28" t="n">
        <f aca="false">E7-E9</f>
        <v>756.697786076287</v>
      </c>
      <c r="F10" s="28" t="n">
        <f aca="false">F7-F9</f>
        <v>1135.04667911443</v>
      </c>
      <c r="G10" s="28" t="n">
        <f aca="false">G7-G9</f>
        <v>756.697786076287</v>
      </c>
      <c r="H10" s="28" t="n">
        <f aca="false">H7-H9</f>
        <v>378.348893038144</v>
      </c>
      <c r="I10" s="28" t="n">
        <f aca="false">I7-I9</f>
        <v>378.348893038144</v>
      </c>
      <c r="J10" s="28" t="n">
        <f aca="false">J7-J9</f>
        <v>756.697786076287</v>
      </c>
      <c r="K10" s="28" t="n">
        <f aca="false">K7-K9</f>
        <v>3026.79114430515</v>
      </c>
      <c r="L10" s="28" t="n">
        <f aca="false">L7-L9</f>
        <v>2270.09335822886</v>
      </c>
      <c r="M10" s="28" t="n">
        <f aca="false">M7-M9</f>
        <v>1891.74446519072</v>
      </c>
      <c r="N10" s="14" t="n">
        <f aca="false">SUM(B10:M10)</f>
        <v>11350.4667911443</v>
      </c>
    </row>
    <row r="12" customFormat="false" ht="15" hidden="false" customHeight="false" outlineLevel="0" collapsed="false">
      <c r="A12" s="3" t="s">
        <v>172</v>
      </c>
      <c r="B12" s="15" t="n">
        <f aca="false">Assumptions!B52/12</f>
        <v>948.333333333333</v>
      </c>
      <c r="C12" s="15" t="n">
        <f aca="false">Assumptions!B52/12</f>
        <v>948.333333333333</v>
      </c>
      <c r="D12" s="15" t="n">
        <f aca="false">Assumptions!B52/12</f>
        <v>948.333333333333</v>
      </c>
      <c r="E12" s="15" t="n">
        <f aca="false">Assumptions!B52/12</f>
        <v>948.333333333333</v>
      </c>
      <c r="F12" s="15" t="n">
        <f aca="false">Assumptions!B52/12</f>
        <v>948.333333333333</v>
      </c>
      <c r="G12" s="15" t="n">
        <f aca="false">Assumptions!B52/12</f>
        <v>948.333333333333</v>
      </c>
      <c r="H12" s="15" t="n">
        <f aca="false">Assumptions!B52/12</f>
        <v>948.333333333333</v>
      </c>
      <c r="I12" s="15" t="n">
        <f aca="false">Assumptions!B52/12</f>
        <v>948.333333333333</v>
      </c>
      <c r="J12" s="15" t="n">
        <f aca="false">Assumptions!B52/12</f>
        <v>948.333333333333</v>
      </c>
      <c r="K12" s="15" t="n">
        <f aca="false">Assumptions!B52/12</f>
        <v>948.333333333333</v>
      </c>
      <c r="L12" s="15" t="n">
        <f aca="false">Assumptions!B52/12</f>
        <v>948.333333333333</v>
      </c>
      <c r="M12" s="15" t="n">
        <f aca="false">Assumptions!B52/12</f>
        <v>948.333333333333</v>
      </c>
      <c r="N12" s="28" t="n">
        <f aca="false">SUM(B12:M12)</f>
        <v>11380</v>
      </c>
    </row>
    <row r="13" customFormat="false" ht="15" hidden="false" customHeight="false" outlineLevel="0" collapsed="false">
      <c r="A13" s="3" t="s">
        <v>173</v>
      </c>
      <c r="B13" s="15" t="n">
        <f aca="false">'Startup Costs'!B17/3</f>
        <v>3166.66666666667</v>
      </c>
      <c r="C13" s="15" t="n">
        <f aca="false">'Startup Costs'!B17/3</f>
        <v>3166.66666666667</v>
      </c>
      <c r="D13" s="15" t="n">
        <f aca="false">'Startup Costs'!B17/3</f>
        <v>3166.66666666667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28" t="n">
        <f aca="false">SUM(B13:M13)</f>
        <v>9500</v>
      </c>
    </row>
    <row r="14" customFormat="false" ht="15" hidden="false" customHeight="false" outlineLevel="0" collapsed="false">
      <c r="A14" s="13" t="s">
        <v>174</v>
      </c>
      <c r="B14" s="28" t="n">
        <f aca="false">B10-B12-B13</f>
        <v>-4115</v>
      </c>
      <c r="C14" s="28" t="n">
        <f aca="false">C10-C12-C13</f>
        <v>-4115</v>
      </c>
      <c r="D14" s="28" t="n">
        <f aca="false">D10-D12-D13</f>
        <v>-4115</v>
      </c>
      <c r="E14" s="28" t="n">
        <f aca="false">E10-E12-E13</f>
        <v>-191.635547257046</v>
      </c>
      <c r="F14" s="28" t="n">
        <f aca="false">F10-F12-F13</f>
        <v>186.713345781097</v>
      </c>
      <c r="G14" s="28" t="n">
        <f aca="false">G10-G12-G13</f>
        <v>-191.635547257046</v>
      </c>
      <c r="H14" s="28" t="n">
        <f aca="false">H10-H12-H13</f>
        <v>-569.98444029519</v>
      </c>
      <c r="I14" s="28" t="n">
        <f aca="false">I10-I12-I13</f>
        <v>-569.98444029519</v>
      </c>
      <c r="J14" s="28" t="n">
        <f aca="false">J10-J12-J13</f>
        <v>-191.635547257046</v>
      </c>
      <c r="K14" s="28" t="n">
        <f aca="false">K10-K12-K13</f>
        <v>2078.45781097181</v>
      </c>
      <c r="L14" s="28" t="n">
        <f aca="false">L10-L12-L13</f>
        <v>1321.76002489553</v>
      </c>
      <c r="M14" s="28" t="n">
        <f aca="false">M10-M12-M13</f>
        <v>943.411131857384</v>
      </c>
      <c r="N14" s="24" t="n">
        <f aca="false">SUM(B14:M14)</f>
        <v>-9529.5332088557</v>
      </c>
    </row>
    <row r="15" customFormat="false" ht="15" hidden="false" customHeight="false" outlineLevel="0" collapsed="false">
      <c r="A15" s="13" t="s">
        <v>175</v>
      </c>
      <c r="B15" s="28" t="n">
        <f aca="false">B14</f>
        <v>-4115</v>
      </c>
      <c r="C15" s="28" t="n">
        <f aca="false">B15+C14</f>
        <v>-8230</v>
      </c>
      <c r="D15" s="28" t="n">
        <f aca="false">C15+D14</f>
        <v>-12345</v>
      </c>
      <c r="E15" s="28" t="n">
        <f aca="false">D15+E14</f>
        <v>-12536.635547257</v>
      </c>
      <c r="F15" s="28" t="n">
        <f aca="false">E15+F14</f>
        <v>-12349.9222014759</v>
      </c>
      <c r="G15" s="28" t="n">
        <f aca="false">F15+G14</f>
        <v>-12541.557748733</v>
      </c>
      <c r="H15" s="28" t="n">
        <f aca="false">G15+H14</f>
        <v>-13111.5421890282</v>
      </c>
      <c r="I15" s="28" t="n">
        <f aca="false">H15+I14</f>
        <v>-13681.5266293234</v>
      </c>
      <c r="J15" s="28" t="n">
        <f aca="false">I15+J14</f>
        <v>-13873.1621765804</v>
      </c>
      <c r="K15" s="28" t="n">
        <f aca="false">J15+K14</f>
        <v>-11794.7043656086</v>
      </c>
      <c r="L15" s="28" t="n">
        <f aca="false">K15+L14</f>
        <v>-10472.9443407131</v>
      </c>
      <c r="M15" s="28" t="n">
        <f aca="false">L15+M14</f>
        <v>-9529.5332088557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  <col collapsed="false" customWidth="true" hidden="false" outlineLevel="0" max="5" min="5" style="0" width="32"/>
  </cols>
  <sheetData>
    <row r="1" customFormat="false" ht="19.7" hidden="false" customHeight="false" outlineLevel="0" collapsed="false">
      <c r="A1" s="5" t="s">
        <v>176</v>
      </c>
      <c r="B1" s="5"/>
      <c r="C1" s="5"/>
      <c r="D1" s="5"/>
      <c r="E1" s="5"/>
    </row>
    <row r="2" customFormat="false" ht="15" hidden="false" customHeight="false" outlineLevel="0" collapsed="false">
      <c r="A2" s="6" t="s">
        <v>177</v>
      </c>
      <c r="B2" s="6"/>
      <c r="C2" s="6"/>
      <c r="D2" s="6"/>
      <c r="E2" s="6"/>
    </row>
    <row r="4" customFormat="false" ht="15" hidden="false" customHeight="false" outlineLevel="0" collapsed="false">
      <c r="A4" s="25" t="s">
        <v>178</v>
      </c>
      <c r="B4" s="25" t="s">
        <v>71</v>
      </c>
      <c r="C4" s="25" t="s">
        <v>72</v>
      </c>
      <c r="D4" s="25" t="s">
        <v>73</v>
      </c>
      <c r="E4" s="25" t="s">
        <v>129</v>
      </c>
    </row>
    <row r="5" customFormat="false" ht="15" hidden="false" customHeight="false" outlineLevel="0" collapsed="false">
      <c r="A5" s="3" t="s">
        <v>74</v>
      </c>
      <c r="B5" s="29" t="n">
        <f aca="false">Assumptions!B36</f>
        <v>30</v>
      </c>
      <c r="C5" s="29" t="n">
        <f aca="false">Assumptions!C36</f>
        <v>80</v>
      </c>
      <c r="D5" s="29" t="n">
        <f aca="false">Assumptions!D36</f>
        <v>180</v>
      </c>
      <c r="E5" s="2" t="s">
        <v>179</v>
      </c>
    </row>
    <row r="6" customFormat="false" ht="15" hidden="false" customHeight="false" outlineLevel="0" collapsed="false">
      <c r="A6" s="3" t="s">
        <v>180</v>
      </c>
      <c r="B6" s="15" t="n">
        <f aca="false">Assumptions!B37</f>
        <v>650</v>
      </c>
      <c r="C6" s="15" t="n">
        <f aca="false">Assumptions!C37</f>
        <v>750</v>
      </c>
      <c r="D6" s="15" t="n">
        <f aca="false">Assumptions!D37</f>
        <v>850</v>
      </c>
      <c r="E6" s="2" t="s">
        <v>181</v>
      </c>
    </row>
    <row r="7" customFormat="false" ht="15" hidden="false" customHeight="false" outlineLevel="0" collapsed="false">
      <c r="A7" s="13" t="s">
        <v>182</v>
      </c>
      <c r="B7" s="14" t="n">
        <f aca="false">B5*B6</f>
        <v>19500</v>
      </c>
      <c r="C7" s="14" t="n">
        <f aca="false">C5*C6</f>
        <v>60000</v>
      </c>
      <c r="D7" s="14" t="n">
        <f aca="false">D5*D6</f>
        <v>153000</v>
      </c>
    </row>
    <row r="8" customFormat="false" ht="15" hidden="false" customHeight="false" outlineLevel="0" collapsed="false">
      <c r="A8" s="3" t="s">
        <v>183</v>
      </c>
      <c r="B8" s="19" t="n">
        <f aca="false">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</f>
        <v>0.582075220058682</v>
      </c>
      <c r="C8" s="19" t="n">
        <f aca="false">(Assumptions!C38*('Unit Economics'!B9-'Unit Economics'!B13)+Assumptions!C39*('Unit Economics'!B18-'Unit Economics'!B21)+Assumptions!C40*('Unit Economics'!B26-'Unit Economics'!B30))/(Assumptions!C38*'Unit Economics'!B9+Assumptions!C39*'Unit Economics'!B18+Assumptions!C40*'Unit Economics'!B26)</f>
        <v>0.593935217091661</v>
      </c>
      <c r="D8" s="19" t="n">
        <f aca="false">(Assumptions!D38*('Unit Economics'!B9-'Unit Economics'!B13)+Assumptions!D39*('Unit Economics'!B18-'Unit Economics'!B21)+Assumptions!D40*('Unit Economics'!B26-'Unit Economics'!B30))/(Assumptions!D38*'Unit Economics'!B9+Assumptions!D39*'Unit Economics'!B18+Assumptions!D40*'Unit Economics'!B26)</f>
        <v>0.602904982852532</v>
      </c>
    </row>
    <row r="9" customFormat="false" ht="15" hidden="false" customHeight="false" outlineLevel="0" collapsed="false">
      <c r="A9" s="3" t="s">
        <v>171</v>
      </c>
      <c r="B9" s="18" t="n">
        <f aca="false">B7*(1-B8)</f>
        <v>8149.5332088557</v>
      </c>
      <c r="C9" s="18" t="n">
        <f aca="false">C7*(1-C8)</f>
        <v>24363.8869745003</v>
      </c>
      <c r="D9" s="18" t="n">
        <f aca="false">D7*(1-D8)</f>
        <v>60755.5376235626</v>
      </c>
    </row>
    <row r="10" customFormat="false" ht="15" hidden="false" customHeight="false" outlineLevel="0" collapsed="false">
      <c r="A10" s="13" t="s">
        <v>103</v>
      </c>
      <c r="B10" s="28" t="n">
        <f aca="false">B7-B9</f>
        <v>11350.4667911443</v>
      </c>
      <c r="C10" s="28" t="n">
        <f aca="false">C7-C9</f>
        <v>35636.1130254997</v>
      </c>
      <c r="D10" s="28" t="n">
        <f aca="false">D7-D9</f>
        <v>92244.4623764374</v>
      </c>
    </row>
    <row r="11" customFormat="false" ht="15" hidden="false" customHeight="false" outlineLevel="0" collapsed="false">
      <c r="A11" s="3" t="s">
        <v>184</v>
      </c>
      <c r="B11" s="15" t="n">
        <f aca="false">Assumptions!B52</f>
        <v>11380</v>
      </c>
      <c r="C11" s="18" t="n">
        <f aca="false">Assumptions!B52*1.5</f>
        <v>17070</v>
      </c>
      <c r="D11" s="18" t="n">
        <f aca="false">Assumptions!B52*2.5+45000</f>
        <v>73450</v>
      </c>
      <c r="E11" s="2" t="s">
        <v>185</v>
      </c>
    </row>
    <row r="12" customFormat="false" ht="15" hidden="false" customHeight="false" outlineLevel="0" collapsed="false">
      <c r="A12" s="13" t="s">
        <v>186</v>
      </c>
      <c r="B12" s="24" t="n">
        <f aca="false">B10-B11</f>
        <v>-29.5332088556952</v>
      </c>
      <c r="C12" s="24" t="n">
        <f aca="false">C10-C11</f>
        <v>18566.1130254997</v>
      </c>
      <c r="D12" s="24" t="n">
        <f aca="false">D10-D11</f>
        <v>18794.4623764374</v>
      </c>
    </row>
    <row r="13" customFormat="false" ht="15" hidden="false" customHeight="false" outlineLevel="0" collapsed="false">
      <c r="A13" s="3" t="s">
        <v>187</v>
      </c>
      <c r="B13" s="30" t="n">
        <f aca="false">B12/B7</f>
        <v>-0.00151452353106129</v>
      </c>
      <c r="C13" s="30" t="n">
        <f aca="false">C12/C7</f>
        <v>0.309435217091661</v>
      </c>
      <c r="D13" s="30" t="n">
        <f aca="false">D12/D7</f>
        <v>0.122839623375408</v>
      </c>
    </row>
    <row r="14" customFormat="false" ht="15" hidden="false" customHeight="false" outlineLevel="0" collapsed="false">
      <c r="A14" s="3" t="s">
        <v>188</v>
      </c>
      <c r="B14" s="31" t="s">
        <v>189</v>
      </c>
      <c r="C14" s="31" t="s">
        <v>190</v>
      </c>
      <c r="D14" s="31" t="s">
        <v>191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5" t="s">
        <v>192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193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25" t="s">
        <v>194</v>
      </c>
      <c r="B4" s="25" t="s">
        <v>167</v>
      </c>
      <c r="C4" s="25" t="s">
        <v>195</v>
      </c>
      <c r="D4" s="25" t="s">
        <v>196</v>
      </c>
      <c r="E4" s="25" t="s">
        <v>197</v>
      </c>
      <c r="F4" s="25" t="s">
        <v>198</v>
      </c>
    </row>
    <row r="5" customFormat="false" ht="15" hidden="false" customHeight="false" outlineLevel="0" collapsed="false">
      <c r="A5" s="3" t="s">
        <v>199</v>
      </c>
      <c r="B5" s="10" t="n">
        <v>18</v>
      </c>
      <c r="C5" s="8" t="n">
        <v>600</v>
      </c>
      <c r="D5" s="28" t="n">
        <f aca="false">B5*C5*((Assumptions!B38*('Unit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Economics'!B26))-Assumptions!B52-'Startup Costs'!B17</f>
        <v>-14593.5876233662</v>
      </c>
      <c r="E5" s="18" t="n">
        <f aca="false">B5*C5*((Assumptions!B38*('Unit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Economics'!B26))-Assumptions!B52</f>
        <v>-5093.58762336623</v>
      </c>
      <c r="F5" s="2" t="s">
        <v>200</v>
      </c>
    </row>
    <row r="6" customFormat="false" ht="15" hidden="false" customHeight="false" outlineLevel="0" collapsed="false">
      <c r="A6" s="32" t="s">
        <v>201</v>
      </c>
      <c r="B6" s="33" t="n">
        <v>30</v>
      </c>
      <c r="C6" s="34" t="n">
        <v>650</v>
      </c>
      <c r="D6" s="24" t="n">
        <f aca="false">B6*C6*((Assumptions!B38*('Unit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Economics'!B26))-Assumptions!B52-'Startup Costs'!B17</f>
        <v>-9529.5332088557</v>
      </c>
      <c r="E6" s="35" t="n">
        <f aca="false">B6*C6*((Assumptions!B38*('Unit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Economics'!B26))-Assumptions!B52</f>
        <v>-29.5332088556952</v>
      </c>
      <c r="F6" s="36" t="s">
        <v>202</v>
      </c>
    </row>
    <row r="7" customFormat="false" ht="15" hidden="false" customHeight="false" outlineLevel="0" collapsed="false">
      <c r="A7" s="3" t="s">
        <v>203</v>
      </c>
      <c r="B7" s="10" t="n">
        <v>50</v>
      </c>
      <c r="C7" s="8" t="n">
        <v>700</v>
      </c>
      <c r="D7" s="28" t="n">
        <f aca="false">B7*C7*((Assumptions!B38*('Unit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Economics'!B26))-Assumptions!B52-'Startup Costs'!B17</f>
        <v>-507.367297946119</v>
      </c>
      <c r="E7" s="18" t="n">
        <f aca="false">B7*C7*((Assumptions!B38*('Unit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Economics'!B26))-Assumptions!B52</f>
        <v>8992.63270205388</v>
      </c>
      <c r="F7" s="2" t="s">
        <v>204</v>
      </c>
    </row>
    <row r="8" customFormat="false" ht="15" hidden="false" customHeight="false" outlineLevel="0" collapsed="false">
      <c r="A8" s="3" t="s">
        <v>205</v>
      </c>
      <c r="B8" s="10" t="n">
        <v>70</v>
      </c>
      <c r="C8" s="8" t="n">
        <v>750</v>
      </c>
      <c r="D8" s="28" t="n">
        <f aca="false">B8*C8*((Assumptions!B38*('Unit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Economics'!B26))-Assumptions!B52-'Startup Costs'!B17</f>
        <v>9678.94905308082</v>
      </c>
      <c r="E8" s="18" t="n">
        <f aca="false">B8*C8*((Assumptions!B38*('Unit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Economics'!B26))-Assumptions!B52</f>
        <v>19178.9490530808</v>
      </c>
      <c r="F8" s="2" t="s">
        <v>206</v>
      </c>
    </row>
    <row r="11" customFormat="false" ht="15" hidden="false" customHeight="false" outlineLevel="0" collapsed="false">
      <c r="A11" s="7" t="s">
        <v>207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3" t="s">
        <v>208</v>
      </c>
      <c r="B12" s="18" t="n">
        <f aca="false">Assumptions!B37*((Assumptions!B38*('Unit Economics'!B9-'Unit Economics'!B13)+Assumptions!B39*('Unit Economics'!B18-'Unit Economics'!B21)+Assumptions!B40*('Unit Economics'!B26-'Unit Economics'!B30))/(Assumptions!B38*'Unit Economics'!B9+Assumptions!B39*'Unit Economics'!B18+Assumptions!B40*'Unit Economics'!B26))</f>
        <v>378.348893038144</v>
      </c>
    </row>
    <row r="13" customFormat="false" ht="15" hidden="false" customHeight="false" outlineLevel="0" collapsed="false">
      <c r="A13" s="3" t="s">
        <v>209</v>
      </c>
      <c r="B13" s="15" t="n">
        <f aca="false">Assumptions!B52</f>
        <v>11380</v>
      </c>
    </row>
    <row r="14" customFormat="false" ht="15" hidden="false" customHeight="false" outlineLevel="0" collapsed="false">
      <c r="A14" s="13" t="s">
        <v>210</v>
      </c>
      <c r="B14" s="37" t="n">
        <f aca="false">B13/B12</f>
        <v>30.0780581346982</v>
      </c>
    </row>
    <row r="15" customFormat="false" ht="15" hidden="false" customHeight="false" outlineLevel="0" collapsed="false">
      <c r="A15" s="13" t="s">
        <v>211</v>
      </c>
      <c r="B15" s="38" t="n">
        <f aca="false">(B13+'Startup Costs'!B17)/B12</f>
        <v>55.1871576320298</v>
      </c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2026-05-07T15:53:46Z</dcterms:created>
  <dc:creator>openpyxl</dc:creator>
  <dc:description/>
  <dc:language>en-US</dc:language>
  <cp:lastModifiedBy/>
  <dcterms:modified xsi:type="dcterms:W3CDTF">2026-05-07T15:53:46Z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